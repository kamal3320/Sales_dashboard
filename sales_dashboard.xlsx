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360" yWindow="90" windowWidth="16170" windowHeight="7688" activeTab="3"/>
  </bookViews>
  <sheets>
    <sheet name="Sheet2" sheetId="8" r:id="rId1"/>
    <sheet name="Sheet4" sheetId="9" r:id="rId2"/>
    <sheet name="Sheet1" sheetId="1" r:id="rId3"/>
    <sheet name="Sales Dashboard" sheetId="10" r:id="rId4"/>
  </sheets>
  <definedNames>
    <definedName name="_xlnm._FilterDatabase" localSheetId="2" hidden="1">Sheet1!$A$1:$D$9</definedName>
    <definedName name="Slicer_Sales_Performance">#N/A</definedName>
    <definedName name="Slicer_Sales_Performance1">#N/A</definedName>
  </definedNames>
  <calcPr calcId="144525"/>
  <pivotCaches>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3" i="1" l="1"/>
  <c r="I12" i="1"/>
  <c r="I11" i="1"/>
  <c r="I10" i="1"/>
  <c r="I9" i="1"/>
  <c r="I8" i="1"/>
  <c r="I7" i="1"/>
  <c r="I6" i="1"/>
  <c r="I5" i="1"/>
  <c r="I4" i="1"/>
  <c r="I3" i="1"/>
  <c r="I2" i="1"/>
  <c r="I1" i="1"/>
  <c r="G6" i="1" l="1"/>
  <c r="G5" i="1"/>
  <c r="G4" i="1"/>
  <c r="G3" i="1"/>
  <c r="G2" i="1"/>
</calcChain>
</file>

<file path=xl/sharedStrings.xml><?xml version="1.0" encoding="utf-8"?>
<sst xmlns="http://schemas.openxmlformats.org/spreadsheetml/2006/main" count="65" uniqueCount="42">
  <si>
    <t>Employee</t>
  </si>
  <si>
    <t>Department</t>
  </si>
  <si>
    <t>Salary</t>
  </si>
  <si>
    <t>Sales</t>
  </si>
  <si>
    <t>Rahul</t>
  </si>
  <si>
    <t>Amit</t>
  </si>
  <si>
    <t>Neha</t>
  </si>
  <si>
    <t>Priya</t>
  </si>
  <si>
    <t>Ravi</t>
  </si>
  <si>
    <t>Mohit</t>
  </si>
  <si>
    <t>Ankit</t>
  </si>
  <si>
    <t>Pooja</t>
  </si>
  <si>
    <t>IT</t>
  </si>
  <si>
    <t>HR</t>
  </si>
  <si>
    <t>Total Sales</t>
  </si>
  <si>
    <t>Row Labels</t>
  </si>
  <si>
    <t>Sum of Sales</t>
  </si>
  <si>
    <t>KPI</t>
  </si>
  <si>
    <t>Total employees</t>
  </si>
  <si>
    <t>Total Salary</t>
  </si>
  <si>
    <t>Average Salary</t>
  </si>
  <si>
    <t>Average Sales</t>
  </si>
  <si>
    <t>Formulas</t>
  </si>
  <si>
    <t>sum</t>
  </si>
  <si>
    <t>Average</t>
  </si>
  <si>
    <t>count</t>
  </si>
  <si>
    <t>counta</t>
  </si>
  <si>
    <t>countif_it</t>
  </si>
  <si>
    <t>sumif_sales</t>
  </si>
  <si>
    <t>if</t>
  </si>
  <si>
    <t>left</t>
  </si>
  <si>
    <t>right</t>
  </si>
  <si>
    <t>mid</t>
  </si>
  <si>
    <t>trim</t>
  </si>
  <si>
    <t>k  jangid</t>
  </si>
  <si>
    <t>ram</t>
  </si>
  <si>
    <t>sita</t>
  </si>
  <si>
    <t>concat</t>
  </si>
  <si>
    <t>len</t>
  </si>
  <si>
    <t>Grand Total</t>
  </si>
  <si>
    <t>EXCEL SALES DASHBOARD</t>
  </si>
  <si>
    <t>Total Employees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</si>
</sst>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 &quot;₹&quot;\ * #,##0.00_ ;_ &quot;₹&quot;\ * \-#,##0.00_ ;_ &quot;₹&quot;\ * &quot;-&quot;??_ ;_ @_ "/>
    <numFmt numFmtId="168" formatCode="&quot;₹&quot;\ #,##0"/>
    <numFmt numFmtId="170" formatCode="_ &quot;₹&quot;\ * #,##0_ ;_ &quot;₹&quot;\ * \-#,##0_ ;_ &quot;₹&quot;\ * &quot;-&quot;??_ ;_ @_ "/>
  </numFmts>
  <fonts count="4" x14ac:knownFonts="1">
    <font>
      <sz val="11"/>
      <color theme="1"/>
      <name val="Calibri"/>
      <family val="2"/>
      <scheme val="minor"/>
    </font>
    <font>
      <sz val="11"/>
      <color theme="1"/>
      <name val="Calibri"/>
      <family val="2"/>
      <scheme val="minor"/>
    </font>
    <font>
      <b/>
      <sz val="36"/>
      <color theme="5" tint="-0.499984740745262"/>
      <name val="Calibri"/>
      <family val="2"/>
      <scheme val="minor"/>
    </font>
    <font>
      <b/>
      <sz val="16"/>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center" vertical="center"/>
    </xf>
    <xf numFmtId="0" fontId="3" fillId="0" borderId="1" xfId="0" applyFont="1" applyBorder="1"/>
    <xf numFmtId="168" fontId="3" fillId="0" borderId="1" xfId="0" applyNumberFormat="1" applyFont="1" applyBorder="1"/>
    <xf numFmtId="170" fontId="3" fillId="0" borderId="1" xfId="1" applyNumberFormat="1" applyFont="1" applyBorder="1"/>
  </cellXfs>
  <cellStyles count="2">
    <cellStyle name="Currency" xfId="1" builtinId="4"/>
    <cellStyle name="Normal" xfId="0" builtinId="0"/>
  </cellStyles>
  <dxfs count="1">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prac1.xlsx]Sheet2!PivotTable1</c:name>
    <c:fmtId val="2"/>
  </c:pivotSource>
  <c:chart>
    <c:title>
      <c:tx>
        <c:rich>
          <a:bodyPr/>
          <a:lstStyle/>
          <a:p>
            <a:pPr>
              <a:defRPr/>
            </a:pPr>
            <a:r>
              <a:rPr lang="en-IN"/>
              <a:t>Departments</a:t>
            </a:r>
            <a:r>
              <a:rPr lang="en-IN" baseline="0"/>
              <a:t> Wise Sales</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Sheet2!$B$3</c:f>
              <c:strCache>
                <c:ptCount val="1"/>
                <c:pt idx="0">
                  <c:v>Total</c:v>
                </c:pt>
              </c:strCache>
            </c:strRef>
          </c:tx>
          <c:invertIfNegative val="0"/>
          <c:cat>
            <c:strRef>
              <c:f>Sheet2!$A$4:$A$7</c:f>
              <c:strCache>
                <c:ptCount val="3"/>
                <c:pt idx="0">
                  <c:v>HR</c:v>
                </c:pt>
                <c:pt idx="1">
                  <c:v>IT</c:v>
                </c:pt>
                <c:pt idx="2">
                  <c:v>Sales</c:v>
                </c:pt>
              </c:strCache>
            </c:strRef>
          </c:cat>
          <c:val>
            <c:numRef>
              <c:f>Sheet2!$B$4:$B$7</c:f>
              <c:numCache>
                <c:formatCode>General</c:formatCode>
                <c:ptCount val="3"/>
                <c:pt idx="0">
                  <c:v>190000</c:v>
                </c:pt>
                <c:pt idx="1">
                  <c:v>500000</c:v>
                </c:pt>
                <c:pt idx="2">
                  <c:v>365000</c:v>
                </c:pt>
              </c:numCache>
            </c:numRef>
          </c:val>
        </c:ser>
        <c:dLbls>
          <c:showLegendKey val="0"/>
          <c:showVal val="0"/>
          <c:showCatName val="0"/>
          <c:showSerName val="0"/>
          <c:showPercent val="0"/>
          <c:showBubbleSize val="0"/>
        </c:dLbls>
        <c:gapWidth val="150"/>
        <c:axId val="41393152"/>
        <c:axId val="134054656"/>
      </c:barChart>
      <c:catAx>
        <c:axId val="41393152"/>
        <c:scaling>
          <c:orientation val="minMax"/>
        </c:scaling>
        <c:delete val="0"/>
        <c:axPos val="b"/>
        <c:majorTickMark val="out"/>
        <c:minorTickMark val="none"/>
        <c:tickLblPos val="nextTo"/>
        <c:crossAx val="134054656"/>
        <c:crosses val="autoZero"/>
        <c:auto val="1"/>
        <c:lblAlgn val="ctr"/>
        <c:lblOffset val="100"/>
        <c:noMultiLvlLbl val="0"/>
      </c:catAx>
      <c:valAx>
        <c:axId val="134054656"/>
        <c:scaling>
          <c:orientation val="minMax"/>
        </c:scaling>
        <c:delete val="0"/>
        <c:axPos val="l"/>
        <c:majorGridlines/>
        <c:numFmt formatCode="General" sourceLinked="1"/>
        <c:majorTickMark val="out"/>
        <c:minorTickMark val="none"/>
        <c:tickLblPos val="nextTo"/>
        <c:crossAx val="413931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prac1.xlsx]Sheet4!PivotTable2</c:name>
    <c:fmtId val="2"/>
  </c:pivotSource>
  <c:chart>
    <c:title>
      <c:tx>
        <c:rich>
          <a:bodyPr/>
          <a:lstStyle/>
          <a:p>
            <a:pPr>
              <a:defRPr/>
            </a:pPr>
            <a:r>
              <a:rPr lang="en-IN"/>
              <a:t>Employee</a:t>
            </a:r>
            <a:r>
              <a:rPr lang="en-IN" baseline="0"/>
              <a:t> Wise Sales</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Sheet4!$B$1</c:f>
              <c:strCache>
                <c:ptCount val="1"/>
                <c:pt idx="0">
                  <c:v>Total</c:v>
                </c:pt>
              </c:strCache>
            </c:strRef>
          </c:tx>
          <c:invertIfNegative val="0"/>
          <c:cat>
            <c:strRef>
              <c:f>Sheet4!$A$2:$A$10</c:f>
              <c:strCache>
                <c:ptCount val="8"/>
                <c:pt idx="0">
                  <c:v>Amit</c:v>
                </c:pt>
                <c:pt idx="1">
                  <c:v>Ankit</c:v>
                </c:pt>
                <c:pt idx="2">
                  <c:v>Mohit</c:v>
                </c:pt>
                <c:pt idx="3">
                  <c:v>Neha</c:v>
                </c:pt>
                <c:pt idx="4">
                  <c:v>Pooja</c:v>
                </c:pt>
                <c:pt idx="5">
                  <c:v>Priya</c:v>
                </c:pt>
                <c:pt idx="6">
                  <c:v>Rahul</c:v>
                </c:pt>
                <c:pt idx="7">
                  <c:v>Ravi</c:v>
                </c:pt>
              </c:strCache>
            </c:strRef>
          </c:cat>
          <c:val>
            <c:numRef>
              <c:f>Sheet4!$B$2:$B$10</c:f>
              <c:numCache>
                <c:formatCode>General</c:formatCode>
                <c:ptCount val="8"/>
                <c:pt idx="0">
                  <c:v>150000</c:v>
                </c:pt>
                <c:pt idx="1">
                  <c:v>100000</c:v>
                </c:pt>
                <c:pt idx="2">
                  <c:v>110000</c:v>
                </c:pt>
                <c:pt idx="3">
                  <c:v>135000</c:v>
                </c:pt>
                <c:pt idx="4">
                  <c:v>170000</c:v>
                </c:pt>
                <c:pt idx="5">
                  <c:v>90000</c:v>
                </c:pt>
                <c:pt idx="6">
                  <c:v>120000</c:v>
                </c:pt>
                <c:pt idx="7">
                  <c:v>180000</c:v>
                </c:pt>
              </c:numCache>
            </c:numRef>
          </c:val>
        </c:ser>
        <c:dLbls>
          <c:showLegendKey val="0"/>
          <c:showVal val="0"/>
          <c:showCatName val="0"/>
          <c:showSerName val="0"/>
          <c:showPercent val="0"/>
          <c:showBubbleSize val="0"/>
        </c:dLbls>
        <c:gapWidth val="150"/>
        <c:axId val="14691328"/>
        <c:axId val="14717696"/>
      </c:barChart>
      <c:catAx>
        <c:axId val="14691328"/>
        <c:scaling>
          <c:orientation val="minMax"/>
        </c:scaling>
        <c:delete val="0"/>
        <c:axPos val="b"/>
        <c:majorTickMark val="out"/>
        <c:minorTickMark val="none"/>
        <c:tickLblPos val="nextTo"/>
        <c:crossAx val="14717696"/>
        <c:crosses val="autoZero"/>
        <c:auto val="1"/>
        <c:lblAlgn val="ctr"/>
        <c:lblOffset val="100"/>
        <c:noMultiLvlLbl val="0"/>
      </c:catAx>
      <c:valAx>
        <c:axId val="14717696"/>
        <c:scaling>
          <c:orientation val="minMax"/>
        </c:scaling>
        <c:delete val="0"/>
        <c:axPos val="l"/>
        <c:majorGridlines/>
        <c:numFmt formatCode="General" sourceLinked="1"/>
        <c:majorTickMark val="out"/>
        <c:minorTickMark val="none"/>
        <c:tickLblPos val="nextTo"/>
        <c:crossAx val="146913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633413</xdr:colOff>
      <xdr:row>8</xdr:row>
      <xdr:rowOff>114300</xdr:rowOff>
    </xdr:from>
    <xdr:to>
      <xdr:col>5</xdr:col>
      <xdr:colOff>392905</xdr:colOff>
      <xdr:row>27</xdr:row>
      <xdr:rowOff>113109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190498</xdr:colOff>
      <xdr:row>8</xdr:row>
      <xdr:rowOff>145255</xdr:rowOff>
    </xdr:from>
    <xdr:to>
      <xdr:col>15</xdr:col>
      <xdr:colOff>65483</xdr:colOff>
      <xdr:row>27</xdr:row>
      <xdr:rowOff>148828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3</xdr:row>
      <xdr:rowOff>57149</xdr:rowOff>
    </xdr:from>
    <xdr:to>
      <xdr:col>13</xdr:col>
      <xdr:colOff>534589</xdr:colOff>
      <xdr:row>7</xdr:row>
      <xdr:rowOff>154781</xdr:rowOff>
    </xdr:to>
    <mc:AlternateContent xmlns:mc="http://schemas.openxmlformats.org/markup-compatibility/2006">
      <mc:Choice xmlns:a14="http://schemas.microsoft.com/office/drawing/2010/main" Requires="a14">
        <xdr:graphicFrame macro="">
          <xdr:nvGraphicFramePr>
            <xdr:cNvPr id="4" name="Sales Performance"/>
            <xdr:cNvGraphicFramePr/>
          </xdr:nvGraphicFramePr>
          <xdr:xfrm>
            <a:off x="0" y="0"/>
            <a:ext cx="0" cy="0"/>
          </xdr:xfrm>
          <a:graphic>
            <a:graphicData uri="http://schemas.microsoft.com/office/drawing/2010/slicer">
              <sle:slicer xmlns:sle="http://schemas.microsoft.com/office/drawing/2010/slicer" name="Sales Performance"/>
            </a:graphicData>
          </a:graphic>
        </xdr:graphicFrame>
      </mc:Choice>
      <mc:Fallback>
        <xdr:sp macro="" textlink="">
          <xdr:nvSpPr>
            <xdr:cNvPr id="0" name=""/>
            <xdr:cNvSpPr>
              <a:spLocks noTextEdit="1"/>
            </xdr:cNvSpPr>
          </xdr:nvSpPr>
          <xdr:spPr>
            <a:xfrm>
              <a:off x="9888141" y="592930"/>
              <a:ext cx="1832371" cy="99060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648890</xdr:colOff>
      <xdr:row>3</xdr:row>
      <xdr:rowOff>67867</xdr:rowOff>
    </xdr:from>
    <xdr:to>
      <xdr:col>9</xdr:col>
      <xdr:colOff>531018</xdr:colOff>
      <xdr:row>8</xdr:row>
      <xdr:rowOff>5954</xdr:rowOff>
    </xdr:to>
    <mc:AlternateContent xmlns:mc="http://schemas.openxmlformats.org/markup-compatibility/2006">
      <mc:Choice xmlns:a14="http://schemas.microsoft.com/office/drawing/2010/main" Requires="a14">
        <xdr:graphicFrame macro="">
          <xdr:nvGraphicFramePr>
            <xdr:cNvPr id="5" name="Sales Performance 1"/>
            <xdr:cNvGraphicFramePr/>
          </xdr:nvGraphicFramePr>
          <xdr:xfrm>
            <a:off x="0" y="0"/>
            <a:ext cx="0" cy="0"/>
          </xdr:xfrm>
          <a:graphic>
            <a:graphicData uri="http://schemas.microsoft.com/office/drawing/2010/slicer">
              <sle:slicer xmlns:sle="http://schemas.microsoft.com/office/drawing/2010/slicer" name="Sales Performance 1"/>
            </a:graphicData>
          </a:graphic>
        </xdr:graphicFrame>
      </mc:Choice>
      <mc:Fallback>
        <xdr:sp macro="" textlink="">
          <xdr:nvSpPr>
            <xdr:cNvPr id="0" name=""/>
            <xdr:cNvSpPr>
              <a:spLocks noTextEdit="1"/>
            </xdr:cNvSpPr>
          </xdr:nvSpPr>
          <xdr:spPr>
            <a:xfrm>
              <a:off x="7292578" y="603648"/>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82.399492592594" createdVersion="4" refreshedVersion="4" minRefreshableVersion="3" recordCount="8">
  <cacheSource type="worksheet">
    <worksheetSource name="Table1"/>
  </cacheSource>
  <cacheFields count="7">
    <cacheField name="Employee" numFmtId="0">
      <sharedItems count="8">
        <s v="Ravi"/>
        <s v="Pooja"/>
        <s v="Amit"/>
        <s v="Ankit"/>
        <s v="Priya"/>
        <s v="Neha"/>
        <s v="Mohit"/>
        <s v="Rahul"/>
      </sharedItems>
    </cacheField>
    <cacheField name="Department" numFmtId="0">
      <sharedItems count="3">
        <s v="IT"/>
        <s v="HR"/>
        <s v="Sales"/>
      </sharedItems>
    </cacheField>
    <cacheField name="Salary" numFmtId="0">
      <sharedItems containsSemiMixedTypes="0" containsString="0" containsNumber="1" containsInteger="1" minValue="25000" maxValue="40000"/>
    </cacheField>
    <cacheField name="Sales" numFmtId="0">
      <sharedItems containsSemiMixedTypes="0" containsString="0" containsNumber="1" containsInteger="1" minValue="90000" maxValue="180000"/>
    </cacheField>
    <cacheField name="Salary Level" numFmtId="0">
      <sharedItems/>
    </cacheField>
    <cacheField name="Salary Category" numFmtId="0">
      <sharedItems/>
    </cacheField>
    <cacheField name="Sales Performance" numFmtId="0">
      <sharedItems count="2">
        <s v="Good"/>
        <s v="Averag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x v="0"/>
    <x v="0"/>
    <n v="40000"/>
    <n v="180000"/>
    <s v="High"/>
    <s v="High"/>
    <x v="0"/>
  </r>
  <r>
    <x v="1"/>
    <x v="0"/>
    <n v="38000"/>
    <n v="170000"/>
    <s v="High"/>
    <s v="High"/>
    <x v="0"/>
  </r>
  <r>
    <x v="2"/>
    <x v="0"/>
    <n v="35000"/>
    <n v="150000"/>
    <s v="High"/>
    <s v="High"/>
    <x v="0"/>
  </r>
  <r>
    <x v="3"/>
    <x v="1"/>
    <n v="32000"/>
    <n v="100000"/>
    <s v="High"/>
    <s v="High"/>
    <x v="1"/>
  </r>
  <r>
    <x v="4"/>
    <x v="1"/>
    <n v="30000"/>
    <n v="90000"/>
    <s v="High"/>
    <s v="High"/>
    <x v="1"/>
  </r>
  <r>
    <x v="5"/>
    <x v="2"/>
    <n v="28000"/>
    <n v="135000"/>
    <s v="Low"/>
    <s v="Low"/>
    <x v="1"/>
  </r>
  <r>
    <x v="6"/>
    <x v="2"/>
    <n v="26000"/>
    <n v="110000"/>
    <s v="Low"/>
    <s v="Low"/>
    <x v="1"/>
  </r>
  <r>
    <x v="7"/>
    <x v="2"/>
    <n v="25000"/>
    <n v="120000"/>
    <s v="Low"/>
    <s v="Low"/>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7" firstHeaderRow="1" firstDataRow="1" firstDataCol="1"/>
  <pivotFields count="7">
    <pivotField showAll="0"/>
    <pivotField axis="axisRow" showAll="0">
      <items count="4">
        <item x="1"/>
        <item x="0"/>
        <item x="2"/>
        <item t="default"/>
      </items>
    </pivotField>
    <pivotField showAll="0"/>
    <pivotField dataField="1" showAll="0"/>
    <pivotField showAll="0"/>
    <pivotField showAll="0"/>
    <pivotField showAll="0">
      <items count="3">
        <item x="1"/>
        <item x="0"/>
        <item t="default"/>
      </items>
    </pivotField>
  </pivotFields>
  <rowFields count="1">
    <field x="1"/>
  </rowFields>
  <rowItems count="4">
    <i>
      <x/>
    </i>
    <i>
      <x v="1"/>
    </i>
    <i>
      <x v="2"/>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B10" firstHeaderRow="1" firstDataRow="1" firstDataCol="1"/>
  <pivotFields count="7">
    <pivotField axis="axisRow" showAll="0">
      <items count="9">
        <item x="2"/>
        <item x="3"/>
        <item x="6"/>
        <item x="5"/>
        <item x="1"/>
        <item x="4"/>
        <item x="7"/>
        <item x="0"/>
        <item t="default"/>
      </items>
    </pivotField>
    <pivotField showAll="0"/>
    <pivotField showAll="0"/>
    <pivotField dataField="1" showAll="0"/>
    <pivotField showAll="0"/>
    <pivotField showAll="0"/>
    <pivotField showAll="0">
      <items count="3">
        <item x="1"/>
        <item x="0"/>
        <item t="default"/>
      </items>
    </pivotField>
  </pivotFields>
  <rowFields count="1">
    <field x="0"/>
  </rowFields>
  <rowItems count="9">
    <i>
      <x/>
    </i>
    <i>
      <x v="1"/>
    </i>
    <i>
      <x v="2"/>
    </i>
    <i>
      <x v="3"/>
    </i>
    <i>
      <x v="4"/>
    </i>
    <i>
      <x v="5"/>
    </i>
    <i>
      <x v="6"/>
    </i>
    <i>
      <x v="7"/>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formance" sourceName="Sales Performance">
  <pivotTables>
    <pivotTable tabId="9"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Performance1" sourceName="Sales Performance">
  <pivotTables>
    <pivotTable tabId="8"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formance" cache="Slicer_Sales_Performance" caption="Sales Performance" style="SlicerStyleLight4" rowHeight="241300"/>
  <slicer name="Sales Performance 1" cache="Slicer_Sales_Performance1" caption="Sales Performance" style="SlicerStyleLight3" rowHeight="241300"/>
</slicers>
</file>

<file path=xl/tables/table1.xml><?xml version="1.0" encoding="utf-8"?>
<table xmlns="http://schemas.openxmlformats.org/spreadsheetml/2006/main" id="1" name="Table1" displayName="Table1" ref="A1:D9" totalsRowShown="0">
  <autoFilter ref="A1:D9"/>
  <tableColumns count="4">
    <tableColumn id="1" name="Employee"/>
    <tableColumn id="2" name="Department"/>
    <tableColumn id="3" name="Salary"/>
    <tableColumn id="4" name="Sal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J12" sqref="J12"/>
    </sheetView>
  </sheetViews>
  <sheetFormatPr defaultRowHeight="14.25" x14ac:dyDescent="0.45"/>
  <cols>
    <col min="1" max="1" width="12.06640625" bestFit="1" customWidth="1"/>
    <col min="2" max="2" width="11.06640625" bestFit="1" customWidth="1"/>
  </cols>
  <sheetData>
    <row r="3" spans="1:2" x14ac:dyDescent="0.45">
      <c r="A3" s="1" t="s">
        <v>15</v>
      </c>
      <c r="B3" t="s">
        <v>16</v>
      </c>
    </row>
    <row r="4" spans="1:2" x14ac:dyDescent="0.45">
      <c r="A4" s="2" t="s">
        <v>13</v>
      </c>
      <c r="B4" s="3">
        <v>190000</v>
      </c>
    </row>
    <row r="5" spans="1:2" x14ac:dyDescent="0.45">
      <c r="A5" s="2" t="s">
        <v>12</v>
      </c>
      <c r="B5" s="3">
        <v>500000</v>
      </c>
    </row>
    <row r="6" spans="1:2" x14ac:dyDescent="0.45">
      <c r="A6" s="2" t="s">
        <v>3</v>
      </c>
      <c r="B6" s="3">
        <v>365000</v>
      </c>
    </row>
    <row r="7" spans="1:2" x14ac:dyDescent="0.45">
      <c r="A7" s="2" t="s">
        <v>39</v>
      </c>
      <c r="B7" s="3">
        <v>1055000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L6" sqref="L6"/>
    </sheetView>
  </sheetViews>
  <sheetFormatPr defaultRowHeight="14.25" x14ac:dyDescent="0.45"/>
  <cols>
    <col min="1" max="1" width="12.06640625" bestFit="1" customWidth="1"/>
    <col min="2" max="2" width="11.06640625" bestFit="1" customWidth="1"/>
  </cols>
  <sheetData>
    <row r="1" spans="1:2" x14ac:dyDescent="0.45">
      <c r="A1" s="1" t="s">
        <v>15</v>
      </c>
      <c r="B1" t="s">
        <v>16</v>
      </c>
    </row>
    <row r="2" spans="1:2" x14ac:dyDescent="0.45">
      <c r="A2" s="2" t="s">
        <v>5</v>
      </c>
      <c r="B2" s="3">
        <v>150000</v>
      </c>
    </row>
    <row r="3" spans="1:2" x14ac:dyDescent="0.45">
      <c r="A3" s="2" t="s">
        <v>10</v>
      </c>
      <c r="B3" s="3">
        <v>100000</v>
      </c>
    </row>
    <row r="4" spans="1:2" x14ac:dyDescent="0.45">
      <c r="A4" s="2" t="s">
        <v>9</v>
      </c>
      <c r="B4" s="3">
        <v>110000</v>
      </c>
    </row>
    <row r="5" spans="1:2" x14ac:dyDescent="0.45">
      <c r="A5" s="2" t="s">
        <v>6</v>
      </c>
      <c r="B5" s="3">
        <v>135000</v>
      </c>
    </row>
    <row r="6" spans="1:2" x14ac:dyDescent="0.45">
      <c r="A6" s="2" t="s">
        <v>11</v>
      </c>
      <c r="B6" s="3">
        <v>170000</v>
      </c>
    </row>
    <row r="7" spans="1:2" x14ac:dyDescent="0.45">
      <c r="A7" s="2" t="s">
        <v>7</v>
      </c>
      <c r="B7" s="3">
        <v>90000</v>
      </c>
    </row>
    <row r="8" spans="1:2" x14ac:dyDescent="0.45">
      <c r="A8" s="2" t="s">
        <v>4</v>
      </c>
      <c r="B8" s="3">
        <v>120000</v>
      </c>
    </row>
    <row r="9" spans="1:2" x14ac:dyDescent="0.45">
      <c r="A9" s="2" t="s">
        <v>8</v>
      </c>
      <c r="B9" s="3">
        <v>180000</v>
      </c>
    </row>
    <row r="10" spans="1:2" x14ac:dyDescent="0.45">
      <c r="A10" s="2" t="s">
        <v>39</v>
      </c>
      <c r="B10" s="3">
        <v>1055000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B3" sqref="B3"/>
    </sheetView>
  </sheetViews>
  <sheetFormatPr defaultRowHeight="14.25" x14ac:dyDescent="0.45"/>
  <cols>
    <col min="1" max="1" width="10.6640625" customWidth="1"/>
    <col min="2" max="2" width="12.46484375" customWidth="1"/>
    <col min="3" max="3" width="9.9296875" bestFit="1" customWidth="1"/>
    <col min="5" max="5" width="12.1328125" customWidth="1"/>
    <col min="6" max="6" width="15.53125" bestFit="1" customWidth="1"/>
    <col min="7" max="7" width="18" bestFit="1" customWidth="1"/>
    <col min="8" max="8" width="9.796875" bestFit="1" customWidth="1"/>
  </cols>
  <sheetData>
    <row r="1" spans="1:10" x14ac:dyDescent="0.45">
      <c r="A1" t="s">
        <v>0</v>
      </c>
      <c r="B1" t="s">
        <v>1</v>
      </c>
      <c r="C1" t="s">
        <v>2</v>
      </c>
      <c r="D1" t="s">
        <v>3</v>
      </c>
      <c r="F1" t="s">
        <v>17</v>
      </c>
      <c r="G1" t="s">
        <v>22</v>
      </c>
      <c r="H1" t="s">
        <v>23</v>
      </c>
      <c r="I1">
        <f>SUM(Table1[Salary])</f>
        <v>254000</v>
      </c>
    </row>
    <row r="2" spans="1:10" x14ac:dyDescent="0.45">
      <c r="A2" t="s">
        <v>8</v>
      </c>
      <c r="B2" t="s">
        <v>12</v>
      </c>
      <c r="C2">
        <v>40000</v>
      </c>
      <c r="D2">
        <v>180000</v>
      </c>
      <c r="F2" t="s">
        <v>18</v>
      </c>
      <c r="G2">
        <f>COUNTA(Table1[Employee])</f>
        <v>8</v>
      </c>
      <c r="H2" t="s">
        <v>24</v>
      </c>
      <c r="I2">
        <f>AVERAGE(Table1[Salary])</f>
        <v>31750</v>
      </c>
    </row>
    <row r="3" spans="1:10" x14ac:dyDescent="0.45">
      <c r="A3" t="s">
        <v>11</v>
      </c>
      <c r="B3" t="s">
        <v>12</v>
      </c>
      <c r="C3">
        <v>38000</v>
      </c>
      <c r="D3">
        <v>170000</v>
      </c>
      <c r="F3" t="s">
        <v>19</v>
      </c>
      <c r="G3">
        <f>SUM(Table1[Salary])</f>
        <v>254000</v>
      </c>
      <c r="H3" t="s">
        <v>25</v>
      </c>
      <c r="I3">
        <f>COUNT(Table1[Salary])</f>
        <v>8</v>
      </c>
      <c r="J3" t="s">
        <v>34</v>
      </c>
    </row>
    <row r="4" spans="1:10" x14ac:dyDescent="0.45">
      <c r="A4" t="s">
        <v>5</v>
      </c>
      <c r="B4" t="s">
        <v>12</v>
      </c>
      <c r="C4">
        <v>35000</v>
      </c>
      <c r="D4">
        <v>150000</v>
      </c>
      <c r="F4" t="s">
        <v>14</v>
      </c>
      <c r="G4">
        <f>SUM(Table1[Sales])</f>
        <v>1055000</v>
      </c>
      <c r="H4" t="s">
        <v>26</v>
      </c>
      <c r="I4">
        <f>COUNTA(Table1[Employee])</f>
        <v>8</v>
      </c>
      <c r="J4" t="s">
        <v>35</v>
      </c>
    </row>
    <row r="5" spans="1:10" x14ac:dyDescent="0.45">
      <c r="A5" t="s">
        <v>10</v>
      </c>
      <c r="B5" t="s">
        <v>13</v>
      </c>
      <c r="C5">
        <v>32000</v>
      </c>
      <c r="D5">
        <v>100000</v>
      </c>
      <c r="F5" t="s">
        <v>20</v>
      </c>
      <c r="G5">
        <f>AVERAGE(Table1[Salary])</f>
        <v>31750</v>
      </c>
      <c r="H5" t="s">
        <v>27</v>
      </c>
      <c r="I5">
        <f>COUNTIF(Table1[Department],"IT")</f>
        <v>3</v>
      </c>
      <c r="J5" t="s">
        <v>36</v>
      </c>
    </row>
    <row r="6" spans="1:10" x14ac:dyDescent="0.45">
      <c r="A6" t="s">
        <v>7</v>
      </c>
      <c r="B6" t="s">
        <v>13</v>
      </c>
      <c r="C6">
        <v>30000</v>
      </c>
      <c r="D6">
        <v>90000</v>
      </c>
      <c r="F6" t="s">
        <v>21</v>
      </c>
      <c r="G6">
        <f>AVERAGE(Table1[Sales])</f>
        <v>131875</v>
      </c>
      <c r="H6" t="s">
        <v>28</v>
      </c>
      <c r="I6">
        <f>SUMIF(Table1[Department],"Sales",Table1[Salary])</f>
        <v>79000</v>
      </c>
    </row>
    <row r="7" spans="1:10" x14ac:dyDescent="0.45">
      <c r="A7" t="s">
        <v>6</v>
      </c>
      <c r="B7" t="s">
        <v>3</v>
      </c>
      <c r="C7">
        <v>28000</v>
      </c>
      <c r="D7">
        <v>135000</v>
      </c>
      <c r="H7" t="s">
        <v>29</v>
      </c>
      <c r="I7" t="str">
        <f>IF(A2&gt;35000,"True","False")</f>
        <v>True</v>
      </c>
    </row>
    <row r="8" spans="1:10" x14ac:dyDescent="0.45">
      <c r="A8" t="s">
        <v>9</v>
      </c>
      <c r="B8" t="s">
        <v>3</v>
      </c>
      <c r="C8">
        <v>26000</v>
      </c>
      <c r="D8">
        <v>110000</v>
      </c>
      <c r="H8" t="s">
        <v>30</v>
      </c>
      <c r="I8" t="str">
        <f>LEFT(A3,3)</f>
        <v>Poo</v>
      </c>
    </row>
    <row r="9" spans="1:10" x14ac:dyDescent="0.45">
      <c r="A9" t="s">
        <v>4</v>
      </c>
      <c r="B9" t="s">
        <v>3</v>
      </c>
      <c r="C9">
        <v>25000</v>
      </c>
      <c r="D9">
        <v>120000</v>
      </c>
      <c r="H9" t="s">
        <v>31</v>
      </c>
      <c r="I9" t="str">
        <f>RIGHT(A4,3)</f>
        <v>mit</v>
      </c>
    </row>
    <row r="10" spans="1:10" x14ac:dyDescent="0.45">
      <c r="H10" t="s">
        <v>32</v>
      </c>
      <c r="I10" t="str">
        <f>MID(A2,2,2)</f>
        <v>av</v>
      </c>
    </row>
    <row r="11" spans="1:10" x14ac:dyDescent="0.45">
      <c r="H11" t="s">
        <v>33</v>
      </c>
      <c r="I11" t="str">
        <f>TRIM(J3)</f>
        <v>k jangid</v>
      </c>
    </row>
    <row r="12" spans="1:10" x14ac:dyDescent="0.45">
      <c r="H12" t="s">
        <v>37</v>
      </c>
      <c r="I12" t="str">
        <f>CONCATENATE(J4," ",J5)</f>
        <v>ram sita</v>
      </c>
    </row>
    <row r="13" spans="1:10" x14ac:dyDescent="0.45">
      <c r="H13" t="s">
        <v>38</v>
      </c>
      <c r="I13">
        <f>LEN(F5)</f>
        <v>14</v>
      </c>
    </row>
  </sheetData>
  <conditionalFormatting sqref="F7">
    <cfRule type="duplicateValues" dxfId="0" priority="2"/>
  </conditionalFormatting>
  <dataValidations count="1">
    <dataValidation type="list" allowBlank="1" showInputMessage="1" showErrorMessage="1" sqref="B2">
      <formula1>"IT, Sales, HR"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showGridLines="0" tabSelected="1" zoomScale="80" zoomScaleNormal="80" workbookViewId="0">
      <selection activeCell="G8" sqref="G8"/>
    </sheetView>
  </sheetViews>
  <sheetFormatPr defaultRowHeight="14.25" x14ac:dyDescent="0.45"/>
  <cols>
    <col min="2" max="2" width="17.59765625" bestFit="1" customWidth="1"/>
    <col min="3" max="3" width="20.1328125" bestFit="1" customWidth="1"/>
    <col min="4" max="4" width="20.796875" bestFit="1" customWidth="1"/>
    <col min="5" max="5" width="16.265625" bestFit="1" customWidth="1"/>
  </cols>
  <sheetData>
    <row r="1" spans="1:16" x14ac:dyDescent="0.45">
      <c r="A1" s="4" t="s">
        <v>40</v>
      </c>
      <c r="B1" s="4"/>
      <c r="C1" s="4"/>
      <c r="D1" s="4"/>
      <c r="E1" s="4"/>
      <c r="F1" s="4"/>
      <c r="G1" s="4"/>
      <c r="H1" s="4"/>
      <c r="I1" s="4"/>
      <c r="J1" s="4"/>
      <c r="K1" s="4"/>
      <c r="L1" s="4"/>
      <c r="M1" s="4"/>
      <c r="N1" s="4"/>
      <c r="O1" s="4"/>
      <c r="P1" s="4"/>
    </row>
    <row r="2" spans="1:16" x14ac:dyDescent="0.45">
      <c r="A2" s="4"/>
      <c r="B2" s="4"/>
      <c r="C2" s="4"/>
      <c r="D2" s="4"/>
      <c r="E2" s="4"/>
      <c r="F2" s="4"/>
      <c r="G2" s="4"/>
      <c r="H2" s="4"/>
      <c r="I2" s="4"/>
      <c r="J2" s="4"/>
      <c r="K2" s="4"/>
      <c r="L2" s="4"/>
      <c r="M2" s="4"/>
      <c r="N2" s="4"/>
      <c r="O2" s="4"/>
      <c r="P2" s="4"/>
    </row>
    <row r="3" spans="1:16" x14ac:dyDescent="0.45">
      <c r="A3" s="4"/>
      <c r="B3" s="4"/>
      <c r="C3" s="4"/>
      <c r="D3" s="4"/>
      <c r="E3" s="4"/>
      <c r="F3" s="4"/>
      <c r="G3" s="4"/>
      <c r="H3" s="4"/>
      <c r="I3" s="4"/>
      <c r="J3" s="4"/>
      <c r="K3" s="4"/>
      <c r="L3" s="4"/>
      <c r="M3" s="4"/>
      <c r="N3" s="4"/>
      <c r="O3" s="4"/>
      <c r="P3" s="4"/>
    </row>
    <row r="5" spans="1:16" ht="21" x14ac:dyDescent="0.65">
      <c r="B5" s="5" t="s">
        <v>14</v>
      </c>
      <c r="C5" s="6">
        <v>1055000</v>
      </c>
      <c r="D5" s="5" t="s">
        <v>41</v>
      </c>
      <c r="E5" s="5">
        <v>8</v>
      </c>
    </row>
    <row r="6" spans="1:16" ht="21" x14ac:dyDescent="0.65">
      <c r="B6" s="5" t="s">
        <v>21</v>
      </c>
      <c r="C6" s="6">
        <v>131875</v>
      </c>
      <c r="D6" s="5" t="s">
        <v>20</v>
      </c>
      <c r="E6" s="7">
        <v>31750</v>
      </c>
    </row>
  </sheetData>
  <mergeCells count="1">
    <mergeCell ref="A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Sheet1</vt:lpstr>
      <vt:lpstr>Sales 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2026-09-15T07:48:46Z</dcterms:created>
  <dcterms:modified xsi:type="dcterms:W3CDTF">2026-09-20T06:17:50Z</dcterms:modified>
</cp:coreProperties>
</file>